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0424c5ad6888011/Desktop/DA Course/Excel/"/>
    </mc:Choice>
  </mc:AlternateContent>
  <xr:revisionPtr revIDLastSave="99" documentId="8_{0A9E4B1E-B7DC-4228-8FBC-4C4AB8FD290B}" xr6:coauthVersionLast="47" xr6:coauthVersionMax="47" xr10:uidLastSave="{FB2B5EB3-0945-47F5-9D59-90B73307C4D7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Answer" sheetId="3" r:id="rId3"/>
  </sheets>
  <definedNames>
    <definedName name="_xlnm._FilterDatabase" localSheetId="2" hidden="1">Answer!$G$2:$G$35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" i="3"/>
  <c r="P40" i="3"/>
  <c r="P41" i="3"/>
  <c r="D39" i="3"/>
  <c r="D40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2" i="3"/>
  <c r="D47" i="3"/>
  <c r="D46" i="3"/>
  <c r="D41" i="3"/>
</calcChain>
</file>

<file path=xl/sharedStrings.xml><?xml version="1.0" encoding="utf-8"?>
<sst xmlns="http://schemas.openxmlformats.org/spreadsheetml/2006/main" count="321" uniqueCount="114">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</sst>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/>
    <xf numFmtId="0" fontId="8" fillId="2" borderId="0" xfId="0" applyFont="1" applyFill="1" applyAlignment="1">
      <alignment horizontal="center"/>
    </xf>
    <xf numFmtId="0" fontId="7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4" workbookViewId="0">
      <selection activeCell="C20" sqref="C20:L22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sqref="A1:F35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734AB-5FA1-45F5-ABCE-0BD43B1057AF}">
  <dimension ref="A1:P47"/>
  <sheetViews>
    <sheetView tabSelected="1" topLeftCell="A16" zoomScaleNormal="100" workbookViewId="0">
      <selection activeCell="P41" sqref="P41"/>
    </sheetView>
  </sheetViews>
  <sheetFormatPr defaultRowHeight="13.2" x14ac:dyDescent="0.25"/>
  <cols>
    <col min="1" max="1" width="14.33203125" customWidth="1"/>
    <col min="2" max="2" width="15.77734375" customWidth="1"/>
    <col min="3" max="3" width="12.77734375" customWidth="1"/>
    <col min="4" max="4" width="10.77734375" customWidth="1"/>
    <col min="5" max="5" width="10.6640625" customWidth="1"/>
    <col min="6" max="6" width="13.44140625" customWidth="1"/>
    <col min="7" max="7" width="16.33203125" customWidth="1"/>
    <col min="8" max="8" width="8.6640625" customWidth="1"/>
    <col min="9" max="9" width="14.44140625" customWidth="1"/>
    <col min="10" max="10" width="9.77734375" customWidth="1"/>
    <col min="16" max="16" width="10.21875" customWidth="1"/>
  </cols>
  <sheetData>
    <row r="1" spans="1:13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110</v>
      </c>
      <c r="H1" s="11" t="s">
        <v>111</v>
      </c>
      <c r="I1" s="11" t="s">
        <v>112</v>
      </c>
      <c r="J1" s="11" t="s">
        <v>113</v>
      </c>
    </row>
    <row r="2" spans="1:13" ht="15.6" x14ac:dyDescent="0.3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12" t="str">
        <f>IF(D2&gt;=500,"High price","Standarad Price")</f>
        <v>High price</v>
      </c>
      <c r="H2" s="12" t="str">
        <f>LEFT(A2,"2")</f>
        <v>28</v>
      </c>
      <c r="I2" s="12" t="str">
        <f>RIGHT(A2,"2")</f>
        <v>US</v>
      </c>
      <c r="J2" s="10" t="str">
        <f>MID(A2,"4","3")</f>
        <v>JAN</v>
      </c>
      <c r="K2" s="2" t="s">
        <v>8</v>
      </c>
    </row>
    <row r="3" spans="1:13" ht="15.6" x14ac:dyDescent="0.3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10" t="str">
        <f t="shared" ref="G3:G35" si="0">IF(D3&gt;=500,"High price","Standarad Price")</f>
        <v>Standarad Price</v>
      </c>
      <c r="H3" s="12" t="str">
        <f t="shared" ref="H3:H35" si="1">LEFT(A3,"2")</f>
        <v>15</v>
      </c>
      <c r="I3" s="12" t="str">
        <f t="shared" ref="I3:I35" si="2">RIGHT(A3,"2")</f>
        <v>US</v>
      </c>
      <c r="J3" s="10" t="str">
        <f t="shared" ref="J3:J35" si="3">MID(A3,"4","3")</f>
        <v>FEB</v>
      </c>
      <c r="K3" s="3" t="s">
        <v>9</v>
      </c>
    </row>
    <row r="4" spans="1:13" ht="15.6" x14ac:dyDescent="0.3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10" t="str">
        <f t="shared" si="0"/>
        <v>Standarad Price</v>
      </c>
      <c r="H4" s="12" t="str">
        <f t="shared" si="1"/>
        <v>03</v>
      </c>
      <c r="I4" s="12" t="str">
        <f t="shared" si="2"/>
        <v>US</v>
      </c>
      <c r="J4" s="10" t="str">
        <f t="shared" si="3"/>
        <v>MAR</v>
      </c>
      <c r="M4" s="3"/>
    </row>
    <row r="5" spans="1:13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12" t="str">
        <f t="shared" si="0"/>
        <v>High price</v>
      </c>
      <c r="H5" s="12" t="str">
        <f t="shared" si="1"/>
        <v>11</v>
      </c>
      <c r="I5" s="12" t="str">
        <f t="shared" si="2"/>
        <v>US</v>
      </c>
      <c r="J5" s="10" t="str">
        <f t="shared" si="3"/>
        <v>APR</v>
      </c>
    </row>
    <row r="6" spans="1:13" ht="15.6" x14ac:dyDescent="0.3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10" t="str">
        <f t="shared" si="0"/>
        <v>Standarad Price</v>
      </c>
      <c r="H6" s="12" t="str">
        <f t="shared" si="1"/>
        <v>22</v>
      </c>
      <c r="I6" s="12" t="str">
        <f t="shared" si="2"/>
        <v>US</v>
      </c>
      <c r="J6" s="10" t="str">
        <f t="shared" si="3"/>
        <v>MAY</v>
      </c>
      <c r="K6" s="2" t="s">
        <v>13</v>
      </c>
    </row>
    <row r="7" spans="1:13" ht="15.6" x14ac:dyDescent="0.3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10" t="str">
        <f t="shared" si="0"/>
        <v>Standarad Price</v>
      </c>
      <c r="H7" s="12" t="str">
        <f t="shared" si="1"/>
        <v>07</v>
      </c>
      <c r="I7" s="12" t="str">
        <f t="shared" si="2"/>
        <v>UK</v>
      </c>
      <c r="J7" s="10" t="str">
        <f t="shared" si="3"/>
        <v>JUN</v>
      </c>
      <c r="K7" s="3" t="s">
        <v>14</v>
      </c>
    </row>
    <row r="8" spans="1:13" ht="15.6" x14ac:dyDescent="0.3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10" t="str">
        <f t="shared" si="0"/>
        <v>Standarad Price</v>
      </c>
      <c r="H8" s="12" t="str">
        <f t="shared" si="1"/>
        <v>19</v>
      </c>
      <c r="I8" s="12" t="str">
        <f t="shared" si="2"/>
        <v>UK</v>
      </c>
      <c r="J8" s="10" t="str">
        <f t="shared" si="3"/>
        <v>JUL</v>
      </c>
      <c r="K8" s="3" t="s">
        <v>15</v>
      </c>
    </row>
    <row r="9" spans="1:13" ht="15.6" x14ac:dyDescent="0.3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10" t="str">
        <f t="shared" si="0"/>
        <v>Standarad Price</v>
      </c>
      <c r="H9" s="12" t="str">
        <f t="shared" si="1"/>
        <v>23</v>
      </c>
      <c r="I9" s="12" t="str">
        <f t="shared" si="2"/>
        <v>UK</v>
      </c>
      <c r="J9" s="10" t="str">
        <f t="shared" si="3"/>
        <v>AUG</v>
      </c>
      <c r="K9" s="3" t="s">
        <v>16</v>
      </c>
    </row>
    <row r="10" spans="1:13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12" t="str">
        <f t="shared" si="0"/>
        <v>High price</v>
      </c>
      <c r="H10" s="12" t="str">
        <f t="shared" si="1"/>
        <v>05</v>
      </c>
      <c r="I10" s="12" t="str">
        <f t="shared" si="2"/>
        <v>UK</v>
      </c>
      <c r="J10" s="10" t="str">
        <f t="shared" si="3"/>
        <v>SEP</v>
      </c>
    </row>
    <row r="11" spans="1:13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10" t="str">
        <f t="shared" si="0"/>
        <v>Standarad Price</v>
      </c>
      <c r="H11" s="12" t="str">
        <f t="shared" si="1"/>
        <v>14</v>
      </c>
      <c r="I11" s="12" t="str">
        <f t="shared" si="2"/>
        <v>UK</v>
      </c>
      <c r="J11" s="10" t="str">
        <f t="shared" si="3"/>
        <v>OCT</v>
      </c>
    </row>
    <row r="12" spans="1:13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12" t="str">
        <f t="shared" si="0"/>
        <v>High price</v>
      </c>
      <c r="H12" s="12" t="str">
        <f t="shared" si="1"/>
        <v>17</v>
      </c>
      <c r="I12" s="12" t="str">
        <f t="shared" si="2"/>
        <v>IN</v>
      </c>
      <c r="J12" s="10" t="str">
        <f t="shared" si="3"/>
        <v>JUN</v>
      </c>
    </row>
    <row r="13" spans="1:13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10" t="str">
        <f t="shared" si="0"/>
        <v>Standarad Price</v>
      </c>
      <c r="H13" s="12" t="str">
        <f t="shared" si="1"/>
        <v>25</v>
      </c>
      <c r="I13" s="12" t="str">
        <f t="shared" si="2"/>
        <v>AU</v>
      </c>
      <c r="J13" s="10" t="str">
        <f t="shared" si="3"/>
        <v>NOV</v>
      </c>
    </row>
    <row r="14" spans="1:13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10" t="str">
        <f t="shared" si="0"/>
        <v>Standarad Price</v>
      </c>
      <c r="H14" s="12" t="str">
        <f t="shared" si="1"/>
        <v>08</v>
      </c>
      <c r="I14" s="12" t="str">
        <f t="shared" si="2"/>
        <v>DE</v>
      </c>
      <c r="J14" s="10" t="str">
        <f t="shared" si="3"/>
        <v>DEC</v>
      </c>
    </row>
    <row r="15" spans="1:13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10" t="str">
        <f t="shared" si="0"/>
        <v>Standarad Price</v>
      </c>
      <c r="H15" s="12" t="str">
        <f t="shared" si="1"/>
        <v>18</v>
      </c>
      <c r="I15" s="12" t="str">
        <f t="shared" si="2"/>
        <v>CA</v>
      </c>
      <c r="J15" s="10" t="str">
        <f t="shared" si="3"/>
        <v>FEB</v>
      </c>
    </row>
    <row r="16" spans="1:13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10" t="str">
        <f t="shared" si="0"/>
        <v>Standarad Price</v>
      </c>
      <c r="H16" s="12" t="str">
        <f t="shared" si="1"/>
        <v>16</v>
      </c>
      <c r="I16" s="12" t="str">
        <f t="shared" si="2"/>
        <v>ES</v>
      </c>
      <c r="J16" s="10" t="str">
        <f t="shared" si="3"/>
        <v>APR</v>
      </c>
    </row>
    <row r="17" spans="1:10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10" t="str">
        <f t="shared" si="0"/>
        <v>Standarad Price</v>
      </c>
      <c r="H17" s="12" t="str">
        <f t="shared" si="1"/>
        <v>21</v>
      </c>
      <c r="I17" s="12" t="str">
        <f t="shared" si="2"/>
        <v>CA</v>
      </c>
      <c r="J17" s="10" t="str">
        <f t="shared" si="3"/>
        <v>AUG</v>
      </c>
    </row>
    <row r="18" spans="1:10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10" t="str">
        <f t="shared" si="0"/>
        <v>Standarad Price</v>
      </c>
      <c r="H18" s="12" t="str">
        <f t="shared" si="1"/>
        <v>20</v>
      </c>
      <c r="I18" s="12" t="str">
        <f t="shared" si="2"/>
        <v>CN</v>
      </c>
      <c r="J18" s="10" t="str">
        <f t="shared" si="3"/>
        <v>AUG</v>
      </c>
    </row>
    <row r="19" spans="1:10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12" t="str">
        <f t="shared" si="0"/>
        <v>High price</v>
      </c>
      <c r="H19" s="12" t="str">
        <f t="shared" si="1"/>
        <v>27</v>
      </c>
      <c r="I19" s="12" t="str">
        <f t="shared" si="2"/>
        <v>IT</v>
      </c>
      <c r="J19" s="10" t="str">
        <f t="shared" si="3"/>
        <v>JAN</v>
      </c>
    </row>
    <row r="20" spans="1:10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10" t="str">
        <f t="shared" si="0"/>
        <v>Standarad Price</v>
      </c>
      <c r="H20" s="12" t="str">
        <f t="shared" si="1"/>
        <v>01</v>
      </c>
      <c r="I20" s="12" t="str">
        <f t="shared" si="2"/>
        <v>UK</v>
      </c>
      <c r="J20" s="10" t="str">
        <f t="shared" si="3"/>
        <v>MAR</v>
      </c>
    </row>
    <row r="21" spans="1:10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10" t="str">
        <f t="shared" si="0"/>
        <v>Standarad Price</v>
      </c>
      <c r="H21" s="12" t="str">
        <f t="shared" si="1"/>
        <v>14</v>
      </c>
      <c r="I21" s="12" t="str">
        <f t="shared" si="2"/>
        <v>US</v>
      </c>
      <c r="J21" s="10" t="str">
        <f t="shared" si="3"/>
        <v>AUG</v>
      </c>
    </row>
    <row r="22" spans="1:10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12" t="str">
        <f t="shared" si="0"/>
        <v>High price</v>
      </c>
      <c r="H22" s="12" t="str">
        <f t="shared" si="1"/>
        <v>14</v>
      </c>
      <c r="I22" s="12" t="str">
        <f t="shared" si="2"/>
        <v>RU</v>
      </c>
      <c r="J22" s="10" t="str">
        <f t="shared" si="3"/>
        <v>MAY</v>
      </c>
    </row>
    <row r="23" spans="1:10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10" t="str">
        <f t="shared" si="0"/>
        <v>Standarad Price</v>
      </c>
      <c r="H23" s="12" t="str">
        <f t="shared" si="1"/>
        <v>09</v>
      </c>
      <c r="I23" s="12" t="str">
        <f t="shared" si="2"/>
        <v>CA</v>
      </c>
      <c r="J23" s="10" t="str">
        <f t="shared" si="3"/>
        <v>JAN</v>
      </c>
    </row>
    <row r="24" spans="1:10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10" t="str">
        <f t="shared" si="0"/>
        <v>Standarad Price</v>
      </c>
      <c r="H24" s="12" t="str">
        <f t="shared" si="1"/>
        <v>19</v>
      </c>
      <c r="I24" s="12" t="str">
        <f t="shared" si="2"/>
        <v>BR</v>
      </c>
      <c r="J24" s="10" t="str">
        <f t="shared" si="3"/>
        <v>JUL</v>
      </c>
    </row>
    <row r="25" spans="1:10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10" t="str">
        <f t="shared" si="0"/>
        <v>Standarad Price</v>
      </c>
      <c r="H25" s="12" t="str">
        <f t="shared" si="1"/>
        <v>21</v>
      </c>
      <c r="I25" s="12" t="str">
        <f t="shared" si="2"/>
        <v>CA</v>
      </c>
      <c r="J25" s="10" t="str">
        <f t="shared" si="3"/>
        <v>AUG</v>
      </c>
    </row>
    <row r="26" spans="1:10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12" t="str">
        <f t="shared" si="0"/>
        <v>High price</v>
      </c>
      <c r="H26" s="12" t="str">
        <f t="shared" si="1"/>
        <v>29</v>
      </c>
      <c r="I26" s="12" t="str">
        <f t="shared" si="2"/>
        <v>CA</v>
      </c>
      <c r="J26" s="10" t="str">
        <f t="shared" si="3"/>
        <v>SEP</v>
      </c>
    </row>
    <row r="27" spans="1:10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10" t="str">
        <f t="shared" si="0"/>
        <v>Standarad Price</v>
      </c>
      <c r="H27" s="12" t="str">
        <f t="shared" si="1"/>
        <v>03</v>
      </c>
      <c r="I27" s="12" t="str">
        <f t="shared" si="2"/>
        <v>CA</v>
      </c>
      <c r="J27" s="10" t="str">
        <f t="shared" si="3"/>
        <v>JUN</v>
      </c>
    </row>
    <row r="28" spans="1:10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10" t="str">
        <f t="shared" si="0"/>
        <v>Standarad Price</v>
      </c>
      <c r="H28" s="12" t="str">
        <f t="shared" si="1"/>
        <v>11</v>
      </c>
      <c r="I28" s="12" t="str">
        <f t="shared" si="2"/>
        <v>CA</v>
      </c>
      <c r="J28" s="10" t="str">
        <f t="shared" si="3"/>
        <v>JUL</v>
      </c>
    </row>
    <row r="29" spans="1:10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10" t="str">
        <f t="shared" si="0"/>
        <v>Standarad Price</v>
      </c>
      <c r="H29" s="12" t="str">
        <f t="shared" si="1"/>
        <v>16</v>
      </c>
      <c r="I29" s="12" t="str">
        <f t="shared" si="2"/>
        <v>ES</v>
      </c>
      <c r="J29" s="10" t="str">
        <f t="shared" si="3"/>
        <v>APR</v>
      </c>
    </row>
    <row r="30" spans="1:10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10" t="str">
        <f t="shared" si="0"/>
        <v>Standarad Price</v>
      </c>
      <c r="H30" s="12" t="str">
        <f t="shared" si="1"/>
        <v>07</v>
      </c>
      <c r="I30" s="12" t="str">
        <f t="shared" si="2"/>
        <v>CA</v>
      </c>
      <c r="J30" s="10" t="str">
        <f t="shared" si="3"/>
        <v>MAR</v>
      </c>
    </row>
    <row r="31" spans="1:10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10" t="str">
        <f t="shared" si="0"/>
        <v>Standarad Price</v>
      </c>
      <c r="H31" s="12" t="str">
        <f t="shared" si="1"/>
        <v>13</v>
      </c>
      <c r="I31" s="12" t="str">
        <f t="shared" si="2"/>
        <v>CA</v>
      </c>
      <c r="J31" s="10" t="str">
        <f t="shared" si="3"/>
        <v>APR</v>
      </c>
    </row>
    <row r="32" spans="1:10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10" t="str">
        <f t="shared" si="0"/>
        <v>Standarad Price</v>
      </c>
      <c r="H32" s="12" t="str">
        <f t="shared" si="1"/>
        <v>24</v>
      </c>
      <c r="I32" s="12" t="str">
        <f t="shared" si="2"/>
        <v>CA</v>
      </c>
      <c r="J32" s="10" t="str">
        <f t="shared" si="3"/>
        <v>MAY</v>
      </c>
    </row>
    <row r="33" spans="1:16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10" t="str">
        <f t="shared" si="0"/>
        <v>Standarad Price</v>
      </c>
      <c r="H33" s="12" t="str">
        <f t="shared" si="1"/>
        <v>02</v>
      </c>
      <c r="I33" s="12" t="str">
        <f t="shared" si="2"/>
        <v>CA</v>
      </c>
      <c r="J33" s="10" t="str">
        <f t="shared" si="3"/>
        <v>DEC</v>
      </c>
    </row>
    <row r="34" spans="1:16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12" t="str">
        <f t="shared" si="0"/>
        <v>High price</v>
      </c>
      <c r="H34" s="12" t="str">
        <f t="shared" si="1"/>
        <v>17</v>
      </c>
      <c r="I34" s="12" t="str">
        <f t="shared" si="2"/>
        <v>IN</v>
      </c>
      <c r="J34" s="10" t="str">
        <f t="shared" si="3"/>
        <v>JUN</v>
      </c>
    </row>
    <row r="35" spans="1:16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10" t="str">
        <f t="shared" si="0"/>
        <v>Standarad Price</v>
      </c>
      <c r="H35" s="12" t="str">
        <f t="shared" si="1"/>
        <v>09</v>
      </c>
      <c r="I35" s="12" t="str">
        <f t="shared" si="2"/>
        <v>FR</v>
      </c>
      <c r="J35" s="10" t="str">
        <f t="shared" si="3"/>
        <v>JUL</v>
      </c>
    </row>
    <row r="38" spans="1:16" ht="15.6" x14ac:dyDescent="0.3">
      <c r="A38" s="2" t="s">
        <v>1</v>
      </c>
    </row>
    <row r="39" spans="1:16" ht="15.6" x14ac:dyDescent="0.3">
      <c r="A39" s="3" t="s">
        <v>2</v>
      </c>
      <c r="D39" s="10">
        <f>SUM(D2:D35)</f>
        <v>10100</v>
      </c>
      <c r="F39" s="2" t="s">
        <v>10</v>
      </c>
    </row>
    <row r="40" spans="1:16" ht="15.6" x14ac:dyDescent="0.3">
      <c r="A40" s="3" t="s">
        <v>3</v>
      </c>
      <c r="D40" s="10">
        <f>COUNTA(B2:B35)</f>
        <v>34</v>
      </c>
      <c r="F40" s="3" t="s">
        <v>11</v>
      </c>
      <c r="P40" s="10">
        <f>SUMIF(F2:F35,"Electronics",D2:D35)</f>
        <v>8050</v>
      </c>
    </row>
    <row r="41" spans="1:16" ht="15.6" x14ac:dyDescent="0.3">
      <c r="A41" s="3" t="s">
        <v>4</v>
      </c>
      <c r="D41" s="10">
        <f>AVERAGE(D2:D35)</f>
        <v>297.05882352941177</v>
      </c>
      <c r="F41" s="3" t="s">
        <v>12</v>
      </c>
      <c r="P41" s="10">
        <f>COUNTIF(D2:D35,"&lt;100")</f>
        <v>11</v>
      </c>
    </row>
    <row r="42" spans="1:16" x14ac:dyDescent="0.25">
      <c r="D42" s="10"/>
    </row>
    <row r="43" spans="1:16" x14ac:dyDescent="0.25">
      <c r="D43" s="10"/>
    </row>
    <row r="44" spans="1:16" x14ac:dyDescent="0.25">
      <c r="D44" s="10"/>
    </row>
    <row r="45" spans="1:16" ht="15.6" x14ac:dyDescent="0.3">
      <c r="A45" s="2" t="s">
        <v>5</v>
      </c>
      <c r="D45" s="10"/>
    </row>
    <row r="46" spans="1:16" ht="15.6" x14ac:dyDescent="0.3">
      <c r="A46" s="3" t="s">
        <v>6</v>
      </c>
      <c r="D46" s="10">
        <f>MIN(D2:D35)</f>
        <v>30</v>
      </c>
    </row>
    <row r="47" spans="1:16" ht="15.6" x14ac:dyDescent="0.3">
      <c r="A47" s="3" t="s">
        <v>7</v>
      </c>
      <c r="D47" s="10">
        <f>MAX(D2:D35)</f>
        <v>1000</v>
      </c>
    </row>
  </sheetData>
  <autoFilter ref="G2:G35" xr:uid="{823734AB-5FA1-45F5-ABCE-0BD43B1057A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Navya Varghese</cp:lastModifiedBy>
  <dcterms:created xsi:type="dcterms:W3CDTF">2026-10-12T09:35:44Z</dcterms:created>
  <dcterms:modified xsi:type="dcterms:W3CDTF">2026-10-12T10:20:53Z</dcterms:modified>
</cp:coreProperties>
</file>